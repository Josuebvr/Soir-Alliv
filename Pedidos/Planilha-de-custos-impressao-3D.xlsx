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Desktop\Soir Alliv\Pedidos\"/>
    </mc:Choice>
  </mc:AlternateContent>
  <xr:revisionPtr revIDLastSave="0" documentId="13_ncr:1_{B55A2320-A880-4007-AE5D-0CD7496FB101}" xr6:coauthVersionLast="47" xr6:coauthVersionMax="47" xr10:uidLastSave="{00000000-0000-0000-0000-000000000000}"/>
  <bookViews>
    <workbookView xWindow="6009" yWindow="3103" windowWidth="10020" windowHeight="13054" xr2:uid="{00000000-000D-0000-FFFF-FFFF00000000}"/>
  </bookViews>
  <sheets>
    <sheet name="CU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H13" i="1" l="1"/>
  <c r="H12" i="1"/>
  <c r="H11" i="1"/>
  <c r="D9" i="1"/>
  <c r="H15" i="1" l="1"/>
  <c r="H20" i="1" s="1"/>
  <c r="D11" i="1"/>
  <c r="H18" i="1" l="1"/>
  <c r="D16" i="1"/>
  <c r="D14" i="1"/>
</calcChain>
</file>

<file path=xl/sharedStrings.xml><?xml version="1.0" encoding="utf-8"?>
<sst xmlns="http://schemas.openxmlformats.org/spreadsheetml/2006/main" count="36" uniqueCount="22">
  <si>
    <t>Filamento (kg)</t>
  </si>
  <si>
    <t>Material utilizado (g)</t>
  </si>
  <si>
    <t>Duração da impressão (h)</t>
  </si>
  <si>
    <t>Taxa de energia</t>
  </si>
  <si>
    <t>Consumo da impressora (w)</t>
  </si>
  <si>
    <t>Consumo de filamento</t>
  </si>
  <si>
    <t>Consumo de energia</t>
  </si>
  <si>
    <t>CUSTO TOTAL</t>
  </si>
  <si>
    <t>% de lucro</t>
  </si>
  <si>
    <t>DESPESAS</t>
  </si>
  <si>
    <t>CUSTO</t>
  </si>
  <si>
    <t>LUCRO</t>
  </si>
  <si>
    <t>SEM PINTURA</t>
  </si>
  <si>
    <t>COM PINTURA</t>
  </si>
  <si>
    <t>Tinta (ml)</t>
  </si>
  <si>
    <t>Frascos de tinta</t>
  </si>
  <si>
    <t>Custo com tinta</t>
  </si>
  <si>
    <t>Mão de obra da pintura</t>
  </si>
  <si>
    <t>Preço sugerido</t>
  </si>
  <si>
    <t>Preço de venda</t>
  </si>
  <si>
    <t>Lucro total</t>
  </si>
  <si>
    <t>Taxa de energia (Kw/h)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</si>
</sst>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4" fontId="0" fillId="3" borderId="3" xfId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4" fontId="2" fillId="3" borderId="0" xfId="0" applyNumberFormat="1" applyFont="1" applyFill="1" applyAlignment="1">
      <alignment horizontal="center" vertical="center"/>
    </xf>
    <xf numFmtId="0" fontId="0" fillId="3" borderId="3" xfId="1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44" fontId="0" fillId="5" borderId="3" xfId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9" fontId="0" fillId="5" borderId="3" xfId="2" applyFont="1" applyFill="1" applyBorder="1" applyAlignment="1">
      <alignment horizontal="center" vertical="center"/>
    </xf>
    <xf numFmtId="44" fontId="0" fillId="5" borderId="5" xfId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4" fontId="2" fillId="5" borderId="3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0" fontId="3" fillId="4" borderId="0" xfId="0" applyFont="1" applyFill="1" applyAlignment="1">
      <alignment horizontal="center" vertical="center" textRotation="90"/>
    </xf>
    <xf numFmtId="0" fontId="3" fillId="6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textRotation="9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0"/>
  <sheetViews>
    <sheetView showGridLines="0" tabSelected="1" zoomScale="136" zoomScaleNormal="136" workbookViewId="0">
      <selection activeCell="D19" sqref="D19"/>
    </sheetView>
  </sheetViews>
  <sheetFormatPr defaultColWidth="9.15234375" defaultRowHeight="14.6" x14ac:dyDescent="0.4"/>
  <cols>
    <col min="1" max="1" width="1.3828125" style="1" customWidth="1"/>
    <col min="2" max="2" width="9.15234375" style="1"/>
    <col min="3" max="3" width="28.53515625" style="1" customWidth="1"/>
    <col min="4" max="4" width="14.3046875" style="1" customWidth="1"/>
    <col min="5" max="6" width="9.15234375" style="1"/>
    <col min="7" max="7" width="28.53515625" style="1" customWidth="1"/>
    <col min="8" max="8" width="14.3046875" style="1" customWidth="1"/>
    <col min="9" max="16384" width="9.15234375" style="1"/>
  </cols>
  <sheetData>
    <row r="1" spans="2:8" ht="7.5" customHeight="1" x14ac:dyDescent="0.4"/>
    <row r="2" spans="2:8" ht="18.75" customHeight="1" x14ac:dyDescent="0.4">
      <c r="B2" s="20" t="s">
        <v>12</v>
      </c>
      <c r="C2" s="20"/>
      <c r="D2" s="20"/>
      <c r="F2" s="20" t="s">
        <v>13</v>
      </c>
      <c r="G2" s="20"/>
      <c r="H2" s="20"/>
    </row>
    <row r="3" spans="2:8" ht="15" customHeight="1" x14ac:dyDescent="0.4">
      <c r="B3" s="21" t="s">
        <v>9</v>
      </c>
      <c r="C3" s="2" t="s">
        <v>0</v>
      </c>
      <c r="D3" s="3">
        <v>100</v>
      </c>
      <c r="F3" s="17" t="s">
        <v>9</v>
      </c>
      <c r="G3" s="2" t="s">
        <v>0</v>
      </c>
      <c r="H3" s="3">
        <v>129.9</v>
      </c>
    </row>
    <row r="4" spans="2:8" x14ac:dyDescent="0.4">
      <c r="B4" s="21"/>
      <c r="C4" s="4" t="s">
        <v>1</v>
      </c>
      <c r="D4" s="5">
        <v>140</v>
      </c>
      <c r="F4" s="18"/>
      <c r="G4" s="4" t="s">
        <v>1</v>
      </c>
      <c r="H4" s="5"/>
    </row>
    <row r="5" spans="2:8" x14ac:dyDescent="0.4">
      <c r="B5" s="21"/>
      <c r="C5" s="2" t="s">
        <v>2</v>
      </c>
      <c r="D5" s="6">
        <v>6</v>
      </c>
      <c r="F5" s="18"/>
      <c r="G5" s="2" t="s">
        <v>2</v>
      </c>
      <c r="H5" s="6"/>
    </row>
    <row r="6" spans="2:8" x14ac:dyDescent="0.4">
      <c r="B6" s="21"/>
      <c r="C6" s="2" t="s">
        <v>21</v>
      </c>
      <c r="D6" s="6">
        <v>1.1910000000000001</v>
      </c>
      <c r="F6" s="18"/>
      <c r="G6" s="2" t="s">
        <v>3</v>
      </c>
      <c r="H6" s="6">
        <v>1.1910000000000001</v>
      </c>
    </row>
    <row r="7" spans="2:8" x14ac:dyDescent="0.4">
      <c r="B7" s="21"/>
      <c r="C7" s="2" t="s">
        <v>4</v>
      </c>
      <c r="D7" s="6">
        <v>400</v>
      </c>
      <c r="F7" s="18"/>
      <c r="G7" s="2" t="s">
        <v>4</v>
      </c>
      <c r="H7" s="6">
        <v>400</v>
      </c>
    </row>
    <row r="8" spans="2:8" x14ac:dyDescent="0.4">
      <c r="F8" s="18"/>
      <c r="G8" s="2" t="s">
        <v>14</v>
      </c>
      <c r="H8" s="3">
        <v>6</v>
      </c>
    </row>
    <row r="9" spans="2:8" x14ac:dyDescent="0.4">
      <c r="B9" s="21" t="s">
        <v>10</v>
      </c>
      <c r="C9" s="2" t="s">
        <v>5</v>
      </c>
      <c r="D9" s="3">
        <f>(D3/1000)*D4</f>
        <v>14</v>
      </c>
      <c r="F9" s="18"/>
      <c r="G9" s="2" t="s">
        <v>15</v>
      </c>
      <c r="H9" s="9">
        <v>2</v>
      </c>
    </row>
    <row r="10" spans="2:8" x14ac:dyDescent="0.4">
      <c r="B10" s="21"/>
      <c r="C10" s="4" t="s">
        <v>6</v>
      </c>
      <c r="D10" s="3">
        <f>((D6*D7)/1000)*D5</f>
        <v>2.8584000000000005</v>
      </c>
    </row>
    <row r="11" spans="2:8" ht="15" customHeight="1" x14ac:dyDescent="0.4">
      <c r="B11" s="21"/>
      <c r="C11" s="7" t="s">
        <v>7</v>
      </c>
      <c r="D11" s="8">
        <f>D9+D10</f>
        <v>16.8584</v>
      </c>
      <c r="F11" s="18" t="s">
        <v>10</v>
      </c>
      <c r="G11" s="2" t="s">
        <v>5</v>
      </c>
      <c r="H11" s="3">
        <f>(H3/1000)*H4</f>
        <v>0</v>
      </c>
    </row>
    <row r="12" spans="2:8" x14ac:dyDescent="0.4">
      <c r="F12" s="18"/>
      <c r="G12" s="4" t="s">
        <v>6</v>
      </c>
      <c r="H12" s="3">
        <f>((H6*H7)/1000)*H5</f>
        <v>0</v>
      </c>
    </row>
    <row r="13" spans="2:8" ht="15" customHeight="1" x14ac:dyDescent="0.4">
      <c r="B13" s="19" t="s">
        <v>11</v>
      </c>
      <c r="C13" s="10" t="s">
        <v>8</v>
      </c>
      <c r="D13" s="13">
        <v>1.5</v>
      </c>
      <c r="F13" s="18"/>
      <c r="G13" s="4" t="s">
        <v>16</v>
      </c>
      <c r="H13" s="3">
        <f>H8*H9</f>
        <v>12</v>
      </c>
    </row>
    <row r="14" spans="2:8" x14ac:dyDescent="0.4">
      <c r="B14" s="19"/>
      <c r="C14" s="12" t="s">
        <v>18</v>
      </c>
      <c r="D14" s="14">
        <f>(D11*D13)+D11</f>
        <v>42.146000000000001</v>
      </c>
      <c r="F14" s="18"/>
      <c r="G14" s="4" t="s">
        <v>17</v>
      </c>
      <c r="H14" s="3">
        <v>10</v>
      </c>
    </row>
    <row r="15" spans="2:8" x14ac:dyDescent="0.4">
      <c r="B15" s="19"/>
      <c r="C15" s="10" t="s">
        <v>19</v>
      </c>
      <c r="D15" s="11">
        <v>45</v>
      </c>
      <c r="F15" s="18"/>
      <c r="G15" s="7" t="s">
        <v>7</v>
      </c>
      <c r="H15" s="8">
        <f>SUM(H11:H14)</f>
        <v>22</v>
      </c>
    </row>
    <row r="16" spans="2:8" x14ac:dyDescent="0.4">
      <c r="B16" s="19"/>
      <c r="C16" s="15" t="s">
        <v>20</v>
      </c>
      <c r="D16" s="16">
        <f>D15-D11</f>
        <v>28.1416</v>
      </c>
    </row>
    <row r="17" spans="6:8" x14ac:dyDescent="0.4">
      <c r="F17" s="19" t="s">
        <v>11</v>
      </c>
      <c r="G17" s="10" t="s">
        <v>8</v>
      </c>
      <c r="H17" s="13">
        <v>1</v>
      </c>
    </row>
    <row r="18" spans="6:8" x14ac:dyDescent="0.4">
      <c r="F18" s="19"/>
      <c r="G18" s="12" t="s">
        <v>18</v>
      </c>
      <c r="H18" s="14">
        <f>(H15*H17)+H15</f>
        <v>44</v>
      </c>
    </row>
    <row r="19" spans="6:8" ht="15" customHeight="1" x14ac:dyDescent="0.4">
      <c r="F19" s="19"/>
      <c r="G19" s="10" t="s">
        <v>19</v>
      </c>
      <c r="H19" s="11">
        <v>69.900000000000006</v>
      </c>
    </row>
    <row r="20" spans="6:8" x14ac:dyDescent="0.4">
      <c r="F20" s="19"/>
      <c r="G20" s="15" t="s">
        <v>20</v>
      </c>
      <c r="H20" s="16">
        <f>H19-H15</f>
        <v>47.900000000000006</v>
      </c>
    </row>
  </sheetData>
  <mergeCells count="8">
    <mergeCell ref="F3:F9"/>
    <mergeCell ref="F11:F15"/>
    <mergeCell ref="F17:F20"/>
    <mergeCell ref="B2:D2"/>
    <mergeCell ref="F2:H2"/>
    <mergeCell ref="B3:B7"/>
    <mergeCell ref="B9:B11"/>
    <mergeCell ref="B13:B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Bruno</dc:creator>
  <cp:lastModifiedBy>Josué Rios</cp:lastModifiedBy>
  <dcterms:created xsi:type="dcterms:W3CDTF">2021-01-02T13:46:53Z</dcterms:created>
  <dcterms:modified xsi:type="dcterms:W3CDTF">2025-12-16T20:25:51Z</dcterms:modified>
</cp:coreProperties>
</file>